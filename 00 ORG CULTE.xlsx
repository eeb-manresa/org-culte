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ebmanresa-my.sharepoint.com/personal/daniel_castro_eebmanresa_org/Documents/CALENDARI/"/>
    </mc:Choice>
  </mc:AlternateContent>
  <xr:revisionPtr revIDLastSave="0" documentId="8_{653B12E3-F56A-4EEC-AEB5-53D8FD9422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 Culto" sheetId="1" r:id="rId1"/>
    <sheet name="Planificación" sheetId="2" r:id="rId2"/>
    <sheet name="Voluntari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28" i="1" s="1"/>
  <c r="C19" i="1" l="1"/>
  <c r="C20" i="1"/>
  <c r="D5" i="1"/>
  <c r="C9" i="1"/>
  <c r="C21" i="1"/>
  <c r="C12" i="1"/>
  <c r="C24" i="1"/>
  <c r="C15" i="1"/>
  <c r="C16" i="1"/>
  <c r="C10" i="1"/>
  <c r="C11" i="1"/>
  <c r="C25" i="1"/>
  <c r="C26" i="1"/>
  <c r="C27" i="1"/>
</calcChain>
</file>

<file path=xl/sharedStrings.xml><?xml version="1.0" encoding="utf-8"?>
<sst xmlns="http://schemas.openxmlformats.org/spreadsheetml/2006/main" count="96" uniqueCount="59">
  <si>
    <t>Informe y Resumen del Servicio Dominical</t>
  </si>
  <si>
    <t>Vista ejecutiva y consultable por fecha</t>
  </si>
  <si>
    <t>Seleccionar Fecha del Culto:</t>
  </si>
  <si>
    <t>BIENVENIDA Y ACCESO</t>
  </si>
  <si>
    <t>Puerta 1</t>
  </si>
  <si>
    <t>Puerta 2</t>
  </si>
  <si>
    <t>Entrada 1</t>
  </si>
  <si>
    <t>Entrada 2</t>
  </si>
  <si>
    <t>DIRECCIÓN Y PALABRA</t>
  </si>
  <si>
    <t>Presidencia</t>
  </si>
  <si>
    <t>Predicación</t>
  </si>
  <si>
    <t>EQUIPO TÉCNICO Y MÚSICA</t>
  </si>
  <si>
    <t>Responsable Alabanza</t>
  </si>
  <si>
    <t>Sonido</t>
  </si>
  <si>
    <t>Proyección</t>
  </si>
  <si>
    <t>Santa Cena (1)</t>
  </si>
  <si>
    <t>Santa Cena (2)</t>
  </si>
  <si>
    <t>Santa Cena (3)</t>
  </si>
  <si>
    <t>Ofrenda (1)</t>
  </si>
  <si>
    <t>Ofrenda (2)</t>
  </si>
  <si>
    <t>Gestión de Servicios Dominicales — Iglesia Bautista</t>
  </si>
  <si>
    <t>Organización general de voluntarios por culto</t>
  </si>
  <si>
    <t>Fecha</t>
  </si>
  <si>
    <t>Culto / Nota</t>
  </si>
  <si>
    <t>Alabanza</t>
  </si>
  <si>
    <t>Santa Cena 1</t>
  </si>
  <si>
    <t>Santa Cena 2</t>
  </si>
  <si>
    <t>Santa Cena 3</t>
  </si>
  <si>
    <t>Ofrenda 1</t>
  </si>
  <si>
    <t>Ofrenda 2</t>
  </si>
  <si>
    <t>Culto General</t>
  </si>
  <si>
    <t>Puerta</t>
  </si>
  <si>
    <t>Entrada</t>
  </si>
  <si>
    <t>Santa Cena</t>
  </si>
  <si>
    <t>Ofrenda</t>
  </si>
  <si>
    <t>ORDENANZAS Y OFRENDA</t>
  </si>
  <si>
    <t>Daniel Efraín</t>
  </si>
  <si>
    <t>Laly Villanueva</t>
  </si>
  <si>
    <t>Mónica López</t>
  </si>
  <si>
    <t>Izan Castro</t>
  </si>
  <si>
    <t>Brenda de la Cruz</t>
  </si>
  <si>
    <t>Christian Marín</t>
  </si>
  <si>
    <t>Walter Zambrano</t>
  </si>
  <si>
    <t>Pedro Sellán</t>
  </si>
  <si>
    <t>Toni Ventura</t>
  </si>
  <si>
    <t>Daniel Castro</t>
  </si>
  <si>
    <t>Josep Barceló</t>
  </si>
  <si>
    <t>Daniel Gustavo</t>
  </si>
  <si>
    <t>Byron Tulcanazo</t>
  </si>
  <si>
    <t>Marius Tatar</t>
  </si>
  <si>
    <t>Luis Miguel A.</t>
  </si>
  <si>
    <t>Paulo Ribeiro</t>
  </si>
  <si>
    <t>Gustavo Maldonado</t>
  </si>
  <si>
    <t>Jose Pulido</t>
  </si>
  <si>
    <t>André Ribeiro</t>
  </si>
  <si>
    <t>Victoria Marín</t>
  </si>
  <si>
    <t>Raúl Silva</t>
  </si>
  <si>
    <t>Victoria Marin</t>
  </si>
  <si>
    <t>Rosa Carrasco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</si>
</sst>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333333"/>
      <name val="Arial"/>
    </font>
    <font>
      <b/>
      <sz val="16"/>
      <color rgb="FF2C3E50"/>
      <name val="Arial"/>
    </font>
    <font>
      <i/>
      <sz val="10"/>
      <color rgb="FF7F8C8D"/>
      <name val="Arial"/>
    </font>
    <font>
      <b/>
      <sz val="11"/>
      <color rgb="FF2C3E50"/>
      <name val="Arial"/>
    </font>
    <font>
      <b/>
      <sz val="11"/>
      <color rgb="FF1B4F72"/>
      <name val="Arial"/>
    </font>
    <font>
      <i/>
      <sz val="11"/>
      <color rgb="FF566573"/>
      <name val="Arial"/>
    </font>
    <font>
      <b/>
      <sz val="10"/>
      <color rgb="FF555555"/>
      <name val="Arial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8F9F9"/>
        <bgColor rgb="FFF8F9F9"/>
      </patternFill>
    </fill>
    <fill>
      <patternFill patternType="solid">
        <fgColor rgb="FFEBF5FB"/>
        <bgColor rgb="FFEBF5FB"/>
      </patternFill>
    </fill>
    <fill>
      <patternFill patternType="solid">
        <fgColor rgb="FFF4F6F7"/>
        <bgColor rgb="FFF4F6F7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A252F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6" borderId="2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2" fillId="0" borderId="3" xfId="0" applyFont="1" applyFill="1" applyBorder="1" applyAlignment="1">
      <alignment horizontal="left" vertical="center"/>
    </xf>
    <xf numFmtId="14" fontId="6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8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4" customWidth="1"/>
    <col min="2" max="2" width="30" customWidth="1"/>
    <col min="3" max="3" width="32" customWidth="1"/>
    <col min="4" max="4" width="25" customWidth="1"/>
  </cols>
  <sheetData>
    <row r="2" spans="2:4" ht="20.25" x14ac:dyDescent="0.3">
      <c r="B2" s="1" t="s">
        <v>0</v>
      </c>
    </row>
    <row r="3" spans="2:4" x14ac:dyDescent="0.25">
      <c r="B3" s="2" t="s">
        <v>1</v>
      </c>
    </row>
    <row r="5" spans="2:4" x14ac:dyDescent="0.25">
      <c r="B5" s="12" t="s">
        <v>2</v>
      </c>
      <c r="C5" s="19">
        <f>Planificación!A5</f>
        <v>46264</v>
      </c>
      <c r="D5" s="13" t="str">
        <f>VLOOKUP(C5, Planificación!A5:P25, 2, FALSE)</f>
        <v>Culto General</v>
      </c>
    </row>
    <row r="8" spans="2:4" ht="24" customHeight="1" x14ac:dyDescent="0.25">
      <c r="B8" s="16" t="s">
        <v>3</v>
      </c>
      <c r="C8" s="17"/>
    </row>
    <row r="9" spans="2:4" ht="20.100000000000001" customHeight="1" x14ac:dyDescent="0.25">
      <c r="B9" s="14" t="s">
        <v>4</v>
      </c>
      <c r="C9" s="15" t="str">
        <f>VLOOKUP(C5, Planificación!A5:P25, 3, FALSE)</f>
        <v>Daniel Efraín</v>
      </c>
    </row>
    <row r="10" spans="2:4" ht="20.100000000000001" customHeight="1" x14ac:dyDescent="0.25">
      <c r="B10" s="14" t="s">
        <v>5</v>
      </c>
      <c r="C10" s="15" t="str">
        <f>VLOOKUP(C5, Planificación!A5:P25, 4, FALSE)</f>
        <v>Laly Villanueva</v>
      </c>
    </row>
    <row r="11" spans="2:4" ht="20.100000000000001" customHeight="1" x14ac:dyDescent="0.25">
      <c r="B11" s="14" t="s">
        <v>6</v>
      </c>
      <c r="C11" s="15" t="str">
        <f>VLOOKUP(C5, Planificación!A5:P25, 5, FALSE)</f>
        <v>Walter Zambrano</v>
      </c>
    </row>
    <row r="12" spans="2:4" ht="20.100000000000001" customHeight="1" x14ac:dyDescent="0.25">
      <c r="B12" s="14" t="s">
        <v>7</v>
      </c>
      <c r="C12" s="15" t="str">
        <f>VLOOKUP(C5, Planificación!A5:P25, 6, FALSE)</f>
        <v>Pedro Sellán</v>
      </c>
    </row>
    <row r="14" spans="2:4" ht="24" customHeight="1" x14ac:dyDescent="0.25">
      <c r="B14" s="16" t="s">
        <v>8</v>
      </c>
      <c r="C14" s="17"/>
    </row>
    <row r="15" spans="2:4" ht="20.100000000000001" customHeight="1" x14ac:dyDescent="0.25">
      <c r="B15" s="14" t="s">
        <v>9</v>
      </c>
      <c r="C15" s="15" t="str">
        <f>VLOOKUP(C5, Planificación!A5:P25, 7, FALSE)</f>
        <v>Byron Tulcanazo</v>
      </c>
    </row>
    <row r="16" spans="2:4" ht="20.100000000000001" customHeight="1" x14ac:dyDescent="0.25">
      <c r="B16" s="14" t="s">
        <v>10</v>
      </c>
      <c r="C16" s="15" t="str">
        <f>VLOOKUP(C5, Planificación!A5:P25, 8, FALSE)</f>
        <v>Daniel Castro</v>
      </c>
    </row>
    <row r="18" spans="2:3" ht="24" customHeight="1" x14ac:dyDescent="0.25">
      <c r="B18" s="16" t="s">
        <v>11</v>
      </c>
      <c r="C18" s="17"/>
    </row>
    <row r="19" spans="2:3" ht="20.100000000000001" customHeight="1" x14ac:dyDescent="0.25">
      <c r="B19" s="14" t="s">
        <v>12</v>
      </c>
      <c r="C19" s="15" t="str">
        <f>VLOOKUP(C5, Planificación!A5:P25, 9, FALSE)</f>
        <v>Marius Tatar</v>
      </c>
    </row>
    <row r="20" spans="2:3" ht="20.100000000000001" customHeight="1" x14ac:dyDescent="0.25">
      <c r="B20" s="14" t="s">
        <v>13</v>
      </c>
      <c r="C20" s="15" t="str">
        <f>VLOOKUP(C5, Planificación!A5:P25, 10, FALSE)</f>
        <v>Jose Pulido</v>
      </c>
    </row>
    <row r="21" spans="2:3" ht="20.100000000000001" customHeight="1" x14ac:dyDescent="0.25">
      <c r="B21" s="14" t="s">
        <v>14</v>
      </c>
      <c r="C21" s="15" t="str">
        <f>VLOOKUP(C5, Planificación!A5:P25, 11, FALSE)</f>
        <v>André Ribeiro</v>
      </c>
    </row>
    <row r="23" spans="2:3" ht="24" customHeight="1" x14ac:dyDescent="0.25">
      <c r="B23" s="16" t="s">
        <v>35</v>
      </c>
      <c r="C23" s="17"/>
    </row>
    <row r="24" spans="2:3" ht="20.100000000000001" customHeight="1" x14ac:dyDescent="0.25">
      <c r="B24" s="14" t="s">
        <v>15</v>
      </c>
      <c r="C24" s="15">
        <f>VLOOKUP(C5, Planificación!A5:P25, 12, FALSE)</f>
        <v>0</v>
      </c>
    </row>
    <row r="25" spans="2:3" ht="20.100000000000001" customHeight="1" x14ac:dyDescent="0.25">
      <c r="B25" s="14" t="s">
        <v>16</v>
      </c>
      <c r="C25" s="15">
        <f>VLOOKUP(C5, Planificación!A5:P25, 13, FALSE)</f>
        <v>0</v>
      </c>
    </row>
    <row r="26" spans="2:3" ht="20.100000000000001" customHeight="1" x14ac:dyDescent="0.25">
      <c r="B26" s="14" t="s">
        <v>17</v>
      </c>
      <c r="C26" s="15">
        <f>VLOOKUP(C5, Planificación!A5:P25, 14, FALSE)</f>
        <v>0</v>
      </c>
    </row>
    <row r="27" spans="2:3" ht="20.100000000000001" customHeight="1" x14ac:dyDescent="0.25">
      <c r="B27" s="14" t="s">
        <v>18</v>
      </c>
      <c r="C27" s="15" t="str">
        <f>VLOOKUP(C5, Planificación!A5:P25, 15, FALSE)</f>
        <v>Christian Marín</v>
      </c>
    </row>
    <row r="28" spans="2:3" ht="20.100000000000001" customHeight="1" x14ac:dyDescent="0.25">
      <c r="B28" s="14" t="s">
        <v>19</v>
      </c>
      <c r="C28" s="15" t="str">
        <f>VLOOKUP(C5, Planificación!A5:P25, 16, FALSE)</f>
        <v>Victoria Marín</v>
      </c>
    </row>
  </sheetData>
  <mergeCells count="4">
    <mergeCell ref="B18:C18"/>
    <mergeCell ref="B8:C8"/>
    <mergeCell ref="B14:C14"/>
    <mergeCell ref="B23:C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"/>
  <sheetViews>
    <sheetView workbookViewId="0">
      <pane xSplit="2" ySplit="4" topLeftCell="C5" activePane="bottomRight" state="frozen"/>
      <selection pane="topRight"/>
      <selection pane="bottomLeft"/>
      <selection pane="bottomRight" activeCell="O9" sqref="O9"/>
    </sheetView>
  </sheetViews>
  <sheetFormatPr baseColWidth="10" defaultColWidth="9.140625" defaultRowHeight="15" x14ac:dyDescent="0.25"/>
  <cols>
    <col min="1" max="1" width="14" customWidth="1"/>
    <col min="2" max="2" width="18" customWidth="1"/>
    <col min="3" max="16" width="16" customWidth="1"/>
  </cols>
  <sheetData>
    <row r="1" spans="1:16" ht="20.25" x14ac:dyDescent="0.3">
      <c r="A1" s="1" t="s">
        <v>20</v>
      </c>
    </row>
    <row r="2" spans="1:16" x14ac:dyDescent="0.25">
      <c r="A2" s="2" t="s">
        <v>21</v>
      </c>
    </row>
    <row r="4" spans="1:16" ht="27.95" customHeight="1" x14ac:dyDescent="0.25">
      <c r="A4" s="3" t="s">
        <v>22</v>
      </c>
      <c r="B4" s="3" t="s">
        <v>23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9</v>
      </c>
      <c r="H4" s="3" t="s">
        <v>10</v>
      </c>
      <c r="I4" s="3" t="s">
        <v>24</v>
      </c>
      <c r="J4" s="3" t="s">
        <v>13</v>
      </c>
      <c r="K4" s="3" t="s">
        <v>14</v>
      </c>
      <c r="L4" s="3" t="s">
        <v>25</v>
      </c>
      <c r="M4" s="3" t="s">
        <v>26</v>
      </c>
      <c r="N4" s="3" t="s">
        <v>27</v>
      </c>
      <c r="O4" s="3" t="s">
        <v>28</v>
      </c>
      <c r="P4" s="3" t="s">
        <v>29</v>
      </c>
    </row>
    <row r="5" spans="1:16" ht="24.75" customHeight="1" x14ac:dyDescent="0.25">
      <c r="A5" s="4">
        <v>46264</v>
      </c>
      <c r="B5" s="5" t="s">
        <v>30</v>
      </c>
      <c r="C5" s="6" t="s">
        <v>36</v>
      </c>
      <c r="D5" s="6" t="s">
        <v>37</v>
      </c>
      <c r="E5" s="6" t="s">
        <v>42</v>
      </c>
      <c r="F5" s="6" t="s">
        <v>43</v>
      </c>
      <c r="G5" s="6" t="s">
        <v>48</v>
      </c>
      <c r="H5" s="6" t="s">
        <v>45</v>
      </c>
      <c r="I5" s="6" t="s">
        <v>49</v>
      </c>
      <c r="J5" s="6" t="s">
        <v>53</v>
      </c>
      <c r="K5" s="6" t="s">
        <v>54</v>
      </c>
      <c r="L5" s="8"/>
      <c r="M5" s="9"/>
      <c r="N5" s="9"/>
      <c r="O5" s="8" t="s">
        <v>41</v>
      </c>
      <c r="P5" s="9" t="s">
        <v>55</v>
      </c>
    </row>
    <row r="6" spans="1:16" ht="24.75" customHeight="1" x14ac:dyDescent="0.25">
      <c r="A6" s="7">
        <v>46271</v>
      </c>
      <c r="B6" s="8"/>
      <c r="C6" s="9"/>
      <c r="D6" s="9"/>
      <c r="E6" s="9"/>
      <c r="F6" s="9"/>
      <c r="G6" s="9"/>
      <c r="H6" s="9"/>
      <c r="I6" s="9"/>
      <c r="J6" s="9"/>
      <c r="K6" s="9"/>
      <c r="L6" s="5"/>
      <c r="M6" s="6"/>
      <c r="N6" s="6"/>
      <c r="O6" s="5"/>
      <c r="P6" s="6"/>
    </row>
    <row r="7" spans="1:16" ht="24.75" customHeight="1" x14ac:dyDescent="0.25">
      <c r="A7" s="4">
        <v>46278</v>
      </c>
      <c r="B7" s="5"/>
      <c r="C7" s="6"/>
      <c r="D7" s="6"/>
      <c r="E7" s="6"/>
      <c r="F7" s="6"/>
      <c r="G7" s="6"/>
      <c r="H7" s="6"/>
      <c r="I7" s="6"/>
      <c r="J7" s="6"/>
      <c r="K7" s="6"/>
      <c r="L7" s="8"/>
      <c r="M7" s="9"/>
      <c r="N7" s="9"/>
      <c r="O7" s="8"/>
      <c r="P7" s="9"/>
    </row>
    <row r="8" spans="1:16" ht="24.75" customHeight="1" x14ac:dyDescent="0.25">
      <c r="A8" s="7">
        <v>46285</v>
      </c>
      <c r="B8" s="8"/>
      <c r="C8" s="9"/>
      <c r="D8" s="9"/>
      <c r="E8" s="9"/>
      <c r="F8" s="9"/>
      <c r="G8" s="9"/>
      <c r="H8" s="9"/>
      <c r="I8" s="9"/>
      <c r="J8" s="9"/>
      <c r="K8" s="9"/>
      <c r="L8" s="5"/>
      <c r="M8" s="6"/>
      <c r="N8" s="6"/>
      <c r="O8" s="5"/>
      <c r="P8" s="6"/>
    </row>
    <row r="9" spans="1:16" ht="24.75" customHeight="1" x14ac:dyDescent="0.25">
      <c r="A9" s="4">
        <v>46292</v>
      </c>
      <c r="B9" s="5"/>
      <c r="C9" s="6"/>
      <c r="D9" s="6"/>
      <c r="E9" s="6"/>
      <c r="F9" s="6"/>
      <c r="G9" s="6"/>
      <c r="H9" s="6"/>
      <c r="I9" s="6"/>
      <c r="J9" s="6"/>
      <c r="K9" s="6"/>
      <c r="L9" s="8"/>
      <c r="M9" s="9"/>
      <c r="N9" s="9"/>
      <c r="O9" s="8"/>
      <c r="P9" s="9"/>
    </row>
    <row r="10" spans="1:16" ht="24.75" customHeight="1" x14ac:dyDescent="0.25">
      <c r="A10" s="7">
        <v>46299</v>
      </c>
      <c r="B10" s="8"/>
      <c r="C10" s="9"/>
      <c r="D10" s="9"/>
      <c r="E10" s="9"/>
      <c r="F10" s="9"/>
      <c r="G10" s="9"/>
      <c r="H10" s="9"/>
      <c r="I10" s="9"/>
      <c r="J10" s="9"/>
      <c r="K10" s="9"/>
      <c r="L10" s="5"/>
      <c r="M10" s="6"/>
      <c r="N10" s="6"/>
      <c r="O10" s="5"/>
      <c r="P10" s="6"/>
    </row>
    <row r="11" spans="1:16" ht="24.75" customHeight="1" x14ac:dyDescent="0.25">
      <c r="A11" s="4">
        <v>46306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8"/>
      <c r="M11" s="9"/>
      <c r="N11" s="9"/>
      <c r="O11" s="8"/>
      <c r="P11" s="9"/>
    </row>
    <row r="12" spans="1:16" ht="24.75" customHeight="1" x14ac:dyDescent="0.25">
      <c r="A12" s="7">
        <v>46313</v>
      </c>
      <c r="B12" s="8"/>
      <c r="C12" s="9"/>
      <c r="D12" s="9"/>
      <c r="E12" s="9"/>
      <c r="F12" s="9"/>
      <c r="G12" s="9"/>
      <c r="H12" s="9"/>
      <c r="I12" s="9"/>
      <c r="J12" s="9"/>
      <c r="K12" s="9"/>
      <c r="L12" s="8"/>
      <c r="M12" s="9"/>
      <c r="N12" s="9"/>
      <c r="O12" s="8"/>
      <c r="P12" s="9"/>
    </row>
    <row r="13" spans="1:16" ht="24.75" customHeight="1" x14ac:dyDescent="0.25">
      <c r="A13" s="4">
        <v>46320</v>
      </c>
      <c r="B13" s="5"/>
      <c r="C13" s="6"/>
      <c r="D13" s="6"/>
      <c r="E13" s="6"/>
      <c r="F13" s="6"/>
      <c r="G13" s="6"/>
      <c r="H13" s="6"/>
      <c r="I13" s="6"/>
      <c r="J13" s="6"/>
      <c r="K13" s="6"/>
      <c r="L13" s="5"/>
      <c r="M13" s="6"/>
      <c r="N13" s="6"/>
      <c r="O13" s="5"/>
      <c r="P13" s="6"/>
    </row>
    <row r="14" spans="1:16" ht="24.75" customHeight="1" x14ac:dyDescent="0.25">
      <c r="A14" s="4">
        <v>46327</v>
      </c>
      <c r="B14" s="5"/>
      <c r="C14" s="6"/>
      <c r="D14" s="6"/>
      <c r="E14" s="6"/>
      <c r="F14" s="4"/>
      <c r="G14" s="5"/>
      <c r="H14" s="6"/>
      <c r="I14" s="6"/>
      <c r="J14" s="6"/>
      <c r="K14" s="4"/>
      <c r="L14" s="8"/>
      <c r="M14" s="9"/>
      <c r="N14" s="9"/>
      <c r="O14" s="8"/>
      <c r="P14" s="9"/>
    </row>
    <row r="15" spans="1:16" ht="24.75" customHeight="1" x14ac:dyDescent="0.25">
      <c r="A15" s="7">
        <v>46334</v>
      </c>
      <c r="B15" s="8"/>
      <c r="C15" s="9"/>
      <c r="D15" s="9"/>
      <c r="E15" s="9"/>
      <c r="F15" s="7"/>
      <c r="G15" s="8"/>
      <c r="H15" s="9"/>
      <c r="I15" s="9"/>
      <c r="J15" s="9"/>
      <c r="K15" s="7"/>
      <c r="L15" s="5"/>
      <c r="M15" s="6"/>
      <c r="N15" s="6"/>
      <c r="O15" s="5"/>
      <c r="P15" s="6"/>
    </row>
    <row r="16" spans="1:16" ht="24.75" customHeight="1" x14ac:dyDescent="0.25">
      <c r="A16" s="4">
        <v>46341</v>
      </c>
      <c r="B16" s="5"/>
      <c r="C16" s="6"/>
      <c r="D16" s="6"/>
      <c r="E16" s="6"/>
      <c r="F16" s="4"/>
      <c r="G16" s="5"/>
      <c r="H16" s="6"/>
      <c r="I16" s="6"/>
      <c r="J16" s="6"/>
      <c r="K16" s="4"/>
      <c r="L16" s="8"/>
      <c r="M16" s="9"/>
      <c r="N16" s="9"/>
      <c r="O16" s="8"/>
      <c r="P16" s="9"/>
    </row>
    <row r="17" spans="1:16" ht="24.75" customHeight="1" x14ac:dyDescent="0.25">
      <c r="A17" s="7">
        <v>46348</v>
      </c>
      <c r="B17" s="8"/>
      <c r="C17" s="9"/>
      <c r="D17" s="9"/>
      <c r="E17" s="9"/>
      <c r="F17" s="7"/>
      <c r="G17" s="8"/>
      <c r="H17" s="9"/>
      <c r="I17" s="9"/>
      <c r="J17" s="9"/>
      <c r="K17" s="7"/>
      <c r="L17" s="5"/>
      <c r="M17" s="6"/>
      <c r="N17" s="6"/>
      <c r="O17" s="5"/>
      <c r="P17" s="6"/>
    </row>
    <row r="18" spans="1:16" ht="24.75" customHeight="1" x14ac:dyDescent="0.25">
      <c r="A18" s="4">
        <v>46355</v>
      </c>
      <c r="B18" s="5"/>
      <c r="C18" s="6"/>
      <c r="D18" s="6"/>
      <c r="E18" s="6"/>
      <c r="F18" s="4"/>
      <c r="G18" s="5"/>
      <c r="H18" s="6"/>
      <c r="I18" s="6"/>
      <c r="J18" s="6"/>
      <c r="K18" s="4"/>
      <c r="L18" s="8"/>
      <c r="M18" s="9"/>
      <c r="N18" s="9"/>
      <c r="O18" s="8"/>
      <c r="P18" s="9"/>
    </row>
    <row r="19" spans="1:16" ht="24.75" customHeight="1" x14ac:dyDescent="0.25">
      <c r="A19" s="7">
        <v>46362</v>
      </c>
      <c r="B19" s="8"/>
      <c r="C19" s="9"/>
      <c r="D19" s="9"/>
      <c r="E19" s="9"/>
      <c r="F19" s="7"/>
      <c r="G19" s="8"/>
      <c r="H19" s="9"/>
      <c r="I19" s="9"/>
      <c r="J19" s="9"/>
      <c r="K19" s="7"/>
      <c r="L19" s="8"/>
      <c r="M19" s="9"/>
      <c r="N19" s="9"/>
      <c r="O19" s="8"/>
      <c r="P19" s="9"/>
    </row>
    <row r="20" spans="1:16" ht="24.75" customHeight="1" x14ac:dyDescent="0.25">
      <c r="A20" s="4">
        <v>46369</v>
      </c>
      <c r="B20" s="5"/>
      <c r="C20" s="6"/>
      <c r="D20" s="6"/>
      <c r="E20" s="6"/>
      <c r="F20" s="4"/>
      <c r="G20" s="5"/>
      <c r="H20" s="6"/>
      <c r="I20" s="6"/>
      <c r="J20" s="6"/>
      <c r="K20" s="4"/>
      <c r="L20" s="5"/>
      <c r="M20" s="6"/>
      <c r="N20" s="6"/>
      <c r="O20" s="5"/>
      <c r="P20" s="6"/>
    </row>
    <row r="21" spans="1:16" ht="24.75" customHeight="1" x14ac:dyDescent="0.25">
      <c r="A21" s="7">
        <v>46376</v>
      </c>
      <c r="B21" s="8"/>
      <c r="C21" s="9"/>
      <c r="D21" s="9"/>
      <c r="E21" s="9"/>
      <c r="F21" s="7"/>
      <c r="G21" s="8"/>
      <c r="H21" s="9"/>
      <c r="I21" s="9"/>
      <c r="J21" s="9"/>
      <c r="K21" s="7"/>
      <c r="L21" s="8"/>
      <c r="M21" s="9"/>
      <c r="N21" s="9"/>
      <c r="O21" s="8"/>
      <c r="P21" s="9"/>
    </row>
    <row r="22" spans="1:16" ht="24.75" customHeight="1" x14ac:dyDescent="0.25">
      <c r="A22" s="4">
        <v>46383</v>
      </c>
      <c r="B22" s="5"/>
      <c r="C22" s="6"/>
      <c r="D22" s="6"/>
      <c r="E22" s="6"/>
      <c r="F22" s="4"/>
      <c r="G22" s="5"/>
      <c r="H22" s="6"/>
      <c r="I22" s="6"/>
      <c r="J22" s="6"/>
      <c r="K22" s="4"/>
      <c r="L22" s="5"/>
      <c r="M22" s="6"/>
      <c r="N22" s="6"/>
      <c r="O22" s="5"/>
      <c r="P22" s="6"/>
    </row>
    <row r="23" spans="1:16" ht="24.75" customHeight="1" x14ac:dyDescent="0.25">
      <c r="A23" s="4">
        <v>46390</v>
      </c>
      <c r="B23" s="5"/>
      <c r="C23" s="6"/>
      <c r="D23" s="6"/>
      <c r="E23" s="6"/>
      <c r="F23" s="4"/>
      <c r="G23" s="5"/>
      <c r="H23" s="6"/>
      <c r="I23" s="6"/>
      <c r="J23" s="6"/>
      <c r="K23" s="4"/>
      <c r="L23" s="8"/>
      <c r="M23" s="9"/>
      <c r="N23" s="9"/>
      <c r="O23" s="8"/>
      <c r="P23" s="9"/>
    </row>
    <row r="24" spans="1:16" ht="24.75" customHeight="1" x14ac:dyDescent="0.25">
      <c r="A24" s="7">
        <v>46397</v>
      </c>
      <c r="B24" s="8"/>
      <c r="C24" s="9"/>
      <c r="D24" s="9"/>
      <c r="E24" s="9"/>
      <c r="F24" s="7"/>
      <c r="G24" s="8"/>
      <c r="H24" s="9"/>
      <c r="I24" s="9"/>
      <c r="J24" s="9"/>
      <c r="K24" s="7"/>
      <c r="L24" s="8"/>
      <c r="M24" s="9"/>
      <c r="N24" s="9"/>
      <c r="O24" s="9"/>
      <c r="P24" s="7"/>
    </row>
    <row r="25" spans="1:16" ht="24.75" customHeight="1" x14ac:dyDescent="0.25">
      <c r="A25" s="4">
        <v>46404</v>
      </c>
      <c r="B25" s="5"/>
      <c r="C25" s="6"/>
      <c r="D25" s="6"/>
      <c r="E25" s="6"/>
      <c r="F25" s="4"/>
      <c r="G25" s="5"/>
      <c r="H25" s="6"/>
      <c r="I25" s="6"/>
      <c r="J25" s="6"/>
      <c r="K25" s="4"/>
      <c r="L25" s="5"/>
      <c r="M25" s="6"/>
      <c r="N25" s="6"/>
      <c r="O25" s="6"/>
      <c r="P25" s="4"/>
    </row>
    <row r="26" spans="1:16" ht="24.75" customHeight="1" x14ac:dyDescent="0.25">
      <c r="A26" s="7">
        <v>46411</v>
      </c>
      <c r="B26" s="8"/>
      <c r="C26" s="9"/>
      <c r="D26" s="9"/>
      <c r="E26" s="9"/>
      <c r="F26" s="7"/>
      <c r="G26" s="8"/>
      <c r="H26" s="9"/>
      <c r="I26" s="9"/>
      <c r="J26" s="9"/>
      <c r="K26" s="7"/>
      <c r="L26" s="8"/>
      <c r="M26" s="9"/>
      <c r="N26" s="9"/>
      <c r="O26" s="9"/>
      <c r="P26" s="7"/>
    </row>
    <row r="27" spans="1:16" ht="24.75" customHeight="1" x14ac:dyDescent="0.25">
      <c r="A27" s="4">
        <v>46418</v>
      </c>
      <c r="B27" s="5"/>
      <c r="C27" s="6"/>
      <c r="D27" s="6"/>
      <c r="E27" s="6"/>
      <c r="F27" s="4"/>
      <c r="G27" s="5"/>
      <c r="H27" s="6"/>
      <c r="I27" s="6"/>
      <c r="J27" s="6"/>
      <c r="K27" s="4"/>
      <c r="L27" s="5"/>
      <c r="M27" s="6"/>
      <c r="N27" s="6"/>
      <c r="O27" s="6"/>
      <c r="P27" s="4"/>
    </row>
    <row r="28" spans="1:16" ht="24.75" customHeight="1" x14ac:dyDescent="0.25">
      <c r="A28" s="7">
        <v>46425</v>
      </c>
      <c r="B28" s="8"/>
      <c r="C28" s="9"/>
      <c r="D28" s="9"/>
      <c r="E28" s="9"/>
      <c r="F28" s="7"/>
      <c r="G28" s="8"/>
      <c r="H28" s="9"/>
      <c r="I28" s="9"/>
      <c r="J28" s="9"/>
      <c r="K28" s="7"/>
      <c r="L28" s="8"/>
      <c r="M28" s="9"/>
      <c r="N28" s="9"/>
      <c r="O28" s="9"/>
      <c r="P28" s="7"/>
    </row>
    <row r="29" spans="1:16" ht="24.75" customHeight="1" x14ac:dyDescent="0.25">
      <c r="A29" s="4">
        <v>46432</v>
      </c>
      <c r="B29" s="5"/>
      <c r="C29" s="6"/>
      <c r="D29" s="6"/>
      <c r="E29" s="6"/>
      <c r="F29" s="4"/>
      <c r="G29" s="5"/>
      <c r="H29" s="6"/>
      <c r="I29" s="6"/>
      <c r="J29" s="6"/>
      <c r="K29" s="4"/>
      <c r="L29" s="5"/>
      <c r="M29" s="6"/>
      <c r="N29" s="6"/>
      <c r="O29" s="6"/>
      <c r="P29" s="4"/>
    </row>
    <row r="30" spans="1:16" ht="24.75" customHeight="1" x14ac:dyDescent="0.25">
      <c r="A30" s="7"/>
      <c r="B30" s="8"/>
      <c r="C30" s="9"/>
      <c r="D30" s="9"/>
      <c r="E30" s="9"/>
      <c r="F30" s="7"/>
      <c r="G30" s="8"/>
      <c r="H30" s="9"/>
      <c r="I30" s="9"/>
      <c r="J30" s="9"/>
      <c r="K30" s="7"/>
      <c r="L30" s="8"/>
      <c r="M30" s="9"/>
      <c r="N30" s="9"/>
      <c r="O30" s="9"/>
      <c r="P30" s="7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errorTitle="Valor no válido" error="Seleccione un voluntario válido de la lista" xr:uid="{00000000-0002-0000-0100-000000000000}">
          <x14:formula1>
            <xm:f>Voluntarios!$A$2:$A$25</xm:f>
          </x14:formula1>
          <xm:sqref>C5:D20</xm:sqref>
        </x14:dataValidation>
        <x14:dataValidation type="list" errorTitle="Valor no válido" error="Seleccione un voluntario válido de la lista" xr:uid="{00000000-0002-0000-0100-000002000000}">
          <x14:formula1>
            <xm:f>Voluntarios!$B$2:$B$25</xm:f>
          </x14:formula1>
          <xm:sqref>E5:F20</xm:sqref>
        </x14:dataValidation>
        <x14:dataValidation type="list" errorTitle="Valor no válido" error="Seleccione un voluntario válido de la lista" xr:uid="{00000000-0002-0000-0100-000004000000}">
          <x14:formula1>
            <xm:f>Voluntarios!$C$2:$C$25</xm:f>
          </x14:formula1>
          <xm:sqref>G5:G20</xm:sqref>
        </x14:dataValidation>
        <x14:dataValidation type="list" errorTitle="Valor no válido" error="Seleccione un voluntario válido de la lista" xr:uid="{00000000-0002-0000-0100-000005000000}">
          <x14:formula1>
            <xm:f>Voluntarios!$D$2:$D$25</xm:f>
          </x14:formula1>
          <xm:sqref>H5:H20</xm:sqref>
        </x14:dataValidation>
        <x14:dataValidation type="list" errorTitle="Valor no válido" error="Seleccione un voluntario válido de la lista" xr:uid="{00000000-0002-0000-0100-000006000000}">
          <x14:formula1>
            <xm:f>Voluntarios!$E$2:$E$25</xm:f>
          </x14:formula1>
          <xm:sqref>I5:I20</xm:sqref>
        </x14:dataValidation>
        <x14:dataValidation type="list" errorTitle="Valor no válido" error="Seleccione un voluntario válido de la lista" xr:uid="{00000000-0002-0000-0100-000007000000}">
          <x14:formula1>
            <xm:f>Voluntarios!$F$2:$F$25</xm:f>
          </x14:formula1>
          <xm:sqref>J5:J20</xm:sqref>
        </x14:dataValidation>
        <x14:dataValidation type="list" errorTitle="Valor no válido" error="Seleccione un voluntario válido de la lista" xr:uid="{00000000-0002-0000-0100-000008000000}">
          <x14:formula1>
            <xm:f>Voluntarios!$G$2:$G$25</xm:f>
          </x14:formula1>
          <xm:sqref>K5:K20</xm:sqref>
        </x14:dataValidation>
        <x14:dataValidation type="list" errorTitle="Valor no válido" error="Seleccione un voluntario válido de la lista" xr:uid="{00000000-0002-0000-0100-000009000000}">
          <x14:formula1>
            <xm:f>Voluntarios!$H$2:$H$25</xm:f>
          </x14:formula1>
          <xm:sqref>L5:N20</xm:sqref>
        </x14:dataValidation>
        <x14:dataValidation type="list" errorTitle="Valor no válido" error="Seleccione un voluntario válido de la lista" xr:uid="{00000000-0002-0000-0100-00000C000000}">
          <x14:formula1>
            <xm:f>Voluntarios!$I$2:$I$25</xm:f>
          </x14:formula1>
          <xm:sqref>O5:P20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I5" sqref="I5"/>
    </sheetView>
  </sheetViews>
  <sheetFormatPr baseColWidth="10" defaultColWidth="9.140625" defaultRowHeight="15" x14ac:dyDescent="0.25"/>
  <cols>
    <col min="1" max="2" width="18" customWidth="1"/>
    <col min="3" max="3" width="19" customWidth="1"/>
    <col min="4" max="4" width="21" customWidth="1"/>
    <col min="5" max="9" width="18" customWidth="1"/>
  </cols>
  <sheetData>
    <row r="1" spans="1:9" x14ac:dyDescent="0.25">
      <c r="A1" s="10" t="s">
        <v>31</v>
      </c>
      <c r="B1" s="10" t="s">
        <v>32</v>
      </c>
      <c r="C1" s="10" t="s">
        <v>9</v>
      </c>
      <c r="D1" s="10" t="s">
        <v>10</v>
      </c>
      <c r="E1" s="10" t="s">
        <v>24</v>
      </c>
      <c r="F1" s="10" t="s">
        <v>13</v>
      </c>
      <c r="G1" s="10" t="s">
        <v>14</v>
      </c>
      <c r="H1" s="10" t="s">
        <v>33</v>
      </c>
      <c r="I1" s="10" t="s">
        <v>34</v>
      </c>
    </row>
    <row r="2" spans="1:9" x14ac:dyDescent="0.25">
      <c r="A2" s="11" t="s">
        <v>36</v>
      </c>
      <c r="B2" s="11" t="s">
        <v>42</v>
      </c>
      <c r="C2" s="11" t="s">
        <v>45</v>
      </c>
      <c r="D2" s="11" t="s">
        <v>45</v>
      </c>
      <c r="E2" s="11" t="s">
        <v>49</v>
      </c>
      <c r="F2" s="11" t="s">
        <v>48</v>
      </c>
      <c r="G2" s="11" t="s">
        <v>50</v>
      </c>
      <c r="H2" s="11" t="s">
        <v>56</v>
      </c>
      <c r="I2" s="11" t="s">
        <v>56</v>
      </c>
    </row>
    <row r="3" spans="1:9" x14ac:dyDescent="0.25">
      <c r="A3" s="11" t="s">
        <v>37</v>
      </c>
      <c r="B3" s="11" t="s">
        <v>43</v>
      </c>
      <c r="C3" s="11" t="s">
        <v>46</v>
      </c>
      <c r="D3" s="11" t="s">
        <v>46</v>
      </c>
      <c r="E3" s="11" t="s">
        <v>51</v>
      </c>
      <c r="F3" s="11" t="s">
        <v>53</v>
      </c>
      <c r="G3" s="11" t="s">
        <v>54</v>
      </c>
      <c r="H3" s="11" t="s">
        <v>41</v>
      </c>
      <c r="I3" s="11" t="s">
        <v>41</v>
      </c>
    </row>
    <row r="4" spans="1:9" x14ac:dyDescent="0.25">
      <c r="A4" s="11" t="s">
        <v>38</v>
      </c>
      <c r="B4" s="11" t="s">
        <v>44</v>
      </c>
      <c r="C4" s="11" t="s">
        <v>47</v>
      </c>
      <c r="D4" s="11" t="s">
        <v>47</v>
      </c>
      <c r="E4" s="11" t="s">
        <v>52</v>
      </c>
      <c r="H4" s="11" t="s">
        <v>57</v>
      </c>
      <c r="I4" s="11" t="s">
        <v>55</v>
      </c>
    </row>
    <row r="5" spans="1:9" x14ac:dyDescent="0.25">
      <c r="A5" s="11" t="s">
        <v>39</v>
      </c>
      <c r="B5" s="11" t="s">
        <v>56</v>
      </c>
      <c r="C5" s="18" t="s">
        <v>48</v>
      </c>
      <c r="H5" s="11" t="s">
        <v>48</v>
      </c>
      <c r="I5" s="11"/>
    </row>
    <row r="6" spans="1:9" x14ac:dyDescent="0.25">
      <c r="A6" s="18" t="s">
        <v>40</v>
      </c>
      <c r="C6" s="18" t="s">
        <v>49</v>
      </c>
      <c r="H6" s="11" t="s">
        <v>58</v>
      </c>
      <c r="I6" s="11"/>
    </row>
    <row r="7" spans="1:9" x14ac:dyDescent="0.25">
      <c r="A7" s="18" t="s">
        <v>41</v>
      </c>
      <c r="C7" s="18" t="s">
        <v>50</v>
      </c>
      <c r="H7" s="18"/>
    </row>
    <row r="8" spans="1:9" x14ac:dyDescent="0.25">
      <c r="A8" s="11" t="s">
        <v>56</v>
      </c>
      <c r="C8" s="1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Culto</vt:lpstr>
      <vt:lpstr>Planificación</vt:lpstr>
      <vt:lpstr>Voluntarios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 Kenia</cp:lastModifiedBy>
  <dcterms:created xsi:type="dcterms:W3CDTF">2026-08-25T11:06:06Z</dcterms:created>
  <dcterms:modified xsi:type="dcterms:W3CDTF">2026-08-25T11:31:24Z</dcterms:modified>
</cp:coreProperties>
</file>